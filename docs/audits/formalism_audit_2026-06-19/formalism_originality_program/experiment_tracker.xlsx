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elty Ledger" sheetId="1" state="visible" r:id="rId3"/>
    <sheet name="Upgrades" sheetId="2" state="visible" r:id="rId4"/>
    <sheet name="Experiments" sheetId="3" state="visible" r:id="rId5"/>
    <sheet name="Summary" sheetId="4" state="visible" r:id="rId6"/>
  </sheets>
  <definedNames>
    <definedName function="false" hidden="true" localSheetId="2" name="_xlnm._FilterDatabase" vbProcedure="false">Experiments!$A$1:$G$8</definedName>
    <definedName function="false" hidden="true" localSheetId="0" name="_xlnm._FilterDatabase" vbProcedure="false">'Novelty Ledger'!$A$1:$F$10</definedName>
    <definedName function="false" hidden="true" localSheetId="1" name="_xlnm._FilterDatabase" vbProcedure="false">Upgrades!$A$1:$G$6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<sst xmlns="http://schemas.openxmlformats.org/spreadsheetml/2006/main" count="165" uniqueCount="136">
  <si>
    <t xml:space="preserve">ID</t>
  </si>
  <si>
    <t xml:space="preserve">Contribution</t>
  </si>
  <si>
    <t xml:space="preserve">Tier</t>
  </si>
  <si>
    <t xml:space="preserve">Audit status</t>
  </si>
  <si>
    <t xml:space="preserve">New output</t>
  </si>
  <si>
    <t xml:space="preserve">Defense (one line)</t>
  </si>
  <si>
    <t xml:space="preserve">F1</t>
  </si>
  <si>
    <t xml:space="preserve">Contract-enforced semantic firewall (refuse-to-overclaim)</t>
  </si>
  <si>
    <t xml:space="preserve">Methodological/Exact</t>
  </si>
  <si>
    <t xml:space="preserve">Praised — flagship</t>
  </si>
  <si>
    <t xml:space="preserve">guarantee (refusal)</t>
  </si>
  <si>
    <t xml:space="preserve">A constructor that throws on overclaim, adversarially tested; not disclaimers</t>
  </si>
  <si>
    <t xml:space="preserve">F2</t>
  </si>
  <si>
    <t xml:space="preserve">Signed comparator-projection x_C + cancellation_index</t>
  </si>
  <si>
    <t xml:space="preserve">Exact</t>
  </si>
  <si>
    <t xml:space="preserve">x_C correct; promote cancellation</t>
  </si>
  <si>
    <t xml:space="preserve">cancellation_index</t>
  </si>
  <si>
    <t xml:space="preserve">Exact algebra; novelty is signed/sector packaging + cancellation guard</t>
  </si>
  <si>
    <t xml:space="preserve">F3</t>
  </si>
  <si>
    <t xml:space="preserve">Fail-closed certified filling fraction F</t>
  </si>
  <si>
    <t xml:space="preserve">Methodological</t>
  </si>
  <si>
    <t xml:space="preserve">Praised</t>
  </si>
  <si>
    <t xml:space="preserve">—</t>
  </si>
  <si>
    <t xml:space="preserve">Object exists iff sign-clean + admissible ceiling; no clipping</t>
  </si>
  <si>
    <t xml:space="preserve">F4</t>
  </si>
  <si>
    <t xml:space="preserve">Registered-threshold exceedance curve Pi</t>
  </si>
  <si>
    <t xml:space="preserve">Typed micro-pre-registration; refuses post-hoc threshold selection</t>
  </si>
  <si>
    <t xml:space="preserve">F5</t>
  </si>
  <si>
    <t xml:space="preserve">Denominator-evolution-split depth gap G_F</t>
  </si>
  <si>
    <t xml:space="preserve">Praised; matched-null needed</t>
  </si>
  <si>
    <t xml:space="preserve">denominator split</t>
  </si>
  <si>
    <t xml:space="preserve">Separates numerator- vs denominator-evolution confound</t>
  </si>
  <si>
    <t xml:space="preserve">F6</t>
  </si>
  <si>
    <t xml:space="preserve">Typed diagnostic&lt;-&gt;inference (MIO&lt;-&gt;HTT) firewall</t>
  </si>
  <si>
    <t xml:space="preserve">Pushforward rejects MIO inputs; prevents laundering to evidence</t>
  </si>
  <si>
    <t xml:space="preserve">F7</t>
  </si>
  <si>
    <t xml:space="preserve">Sector-resolved departure vector + first-class cancellation</t>
  </si>
  <si>
    <t xml:space="preserve">New</t>
  </si>
  <si>
    <t xml:space="preserve">New (from cancellation finding)</t>
  </si>
  <si>
    <t xml:space="preserve">signed sector profile</t>
  </si>
  <si>
    <t xml:space="preserve">Turns the x_C~0!=isotropy trap into a more informative object</t>
  </si>
  <si>
    <t xml:space="preserve">F8</t>
  </si>
  <si>
    <t xml:space="preserve">Total-anisotropy magnitude companion to F</t>
  </si>
  <si>
    <t xml:space="preserve">New (from naming finding)</t>
  </si>
  <si>
    <t xml:space="preserve">unsigned magnitude M</t>
  </si>
  <si>
    <t xml:space="preserve">F and M diverge exactly under cancellation — the case that matters</t>
  </si>
  <si>
    <t xml:space="preserve">F9</t>
  </si>
  <si>
    <t xml:space="preserve">Semantic-firewall specification + adversarial fuzzer</t>
  </si>
  <si>
    <t xml:space="preserve">New/Methodological</t>
  </si>
  <si>
    <t xml:space="preserve">New (from semantic-split)</t>
  </si>
  <si>
    <t xml:space="preserve">portable spec + fuzzer + label linter</t>
  </si>
  <si>
    <t xml:space="preserve">Packages the firewall as a reusable, testable artifact</t>
  </si>
  <si>
    <t xml:space="preserve">Upgrade</t>
  </si>
  <si>
    <t xml:space="preserve">Audit finding cured</t>
  </si>
  <si>
    <t xml:space="preserve">New object</t>
  </si>
  <si>
    <t xml:space="preserve">Novelty</t>
  </si>
  <si>
    <t xml:space="preserve">Acceptance criterion</t>
  </si>
  <si>
    <t xml:space="preserve">Code</t>
  </si>
  <si>
    <t xml:space="preserve">U1</t>
  </si>
  <si>
    <t xml:space="preserve">Sector profile + first-class cancellation</t>
  </si>
  <si>
    <t xml:space="preserve">x_C~0 != isotropy (Med)</t>
  </si>
  <si>
    <t xml:space="preserve">DepartureProfile</t>
  </si>
  <si>
    <t xml:space="preserve">No x_C/F reported without sector vector + cancellation_index</t>
  </si>
  <si>
    <t xml:space="preserve">exp01</t>
  </si>
  <si>
    <t xml:space="preserve">U2</t>
  </si>
  <si>
    <t xml:space="preserve">Total-anisotropy magnitude companion</t>
  </si>
  <si>
    <t xml:space="preserve">F naming (Med)</t>
  </si>
  <si>
    <t xml:space="preserve">magnitude M</t>
  </si>
  <si>
    <t xml:space="preserve">Every F shown with M + precise definition; retire *_posterior name</t>
  </si>
  <si>
    <t xml:space="preserve">exp01/exp02</t>
  </si>
  <si>
    <t xml:space="preserve">U3</t>
  </si>
  <si>
    <t xml:space="preserve">Firewall spec + adversarial fuzzer + label linter</t>
  </si>
  <si>
    <t xml:space="preserve">semantic-split mislabel (High)</t>
  </si>
  <si>
    <t xml:space="preserve">spec + fuzzer + linter</t>
  </si>
  <si>
    <t xml:space="preserve">0 successful smuggles; figure-label linter passes; figure relabeled</t>
  </si>
  <si>
    <t xml:space="preserve">semantic_firewall_fuzz</t>
  </si>
  <si>
    <t xml:space="preserve">U4</t>
  </si>
  <si>
    <t xml:space="preserve">Matched-null + boost-vs-tilt depth discriminant</t>
  </si>
  <si>
    <t xml:space="preserve">G_F FPR~1 (High)</t>
  </si>
  <si>
    <t xml:space="preserve">ROC/Fisher forecast</t>
  </si>
  <si>
    <t xml:space="preserve">upgrades F5</t>
  </si>
  <si>
    <t xml:space="preserve">Matched-null FPR &lt; 0.15; boost-vs-tilt separation reported as forecast</t>
  </si>
  <si>
    <t xml:space="preserve">exp04</t>
  </si>
  <si>
    <t xml:space="preserve">U5</t>
  </si>
  <si>
    <t xml:space="preserve">Comparator multiverse for x_C/Q</t>
  </si>
  <si>
    <t xml:space="preserve">comparator display (Low)</t>
  </si>
  <si>
    <t xml:space="preserve">comparator spec-curve</t>
  </si>
  <si>
    <t xml:space="preserve">strengthens F2</t>
  </si>
  <si>
    <t xml:space="preserve">x_C/Q never shown without comparator + across-comparator spread</t>
  </si>
  <si>
    <t xml:space="preserve">exp05</t>
  </si>
  <si>
    <t xml:space="preserve">Experiment</t>
  </si>
  <si>
    <t xml:space="preserve">Targets</t>
  </si>
  <si>
    <t xml:space="preserve">Effort</t>
  </si>
  <si>
    <t xml:space="preserve">Status</t>
  </si>
  <si>
    <t xml:space="preserve">Produces</t>
  </si>
  <si>
    <t xml:space="preserve">Success criterion</t>
  </si>
  <si>
    <t xml:space="preserve">E1</t>
  </si>
  <si>
    <t xml:space="preserve">Cancellation null distribution</t>
  </si>
  <si>
    <t xml:space="preserve">U1/F7,U2/F8</t>
  </si>
  <si>
    <t xml:space="preserve">hours</t>
  </si>
  <si>
    <t xml:space="preserve">DEMO-DONE</t>
  </si>
  <si>
    <t xml:space="preserve">P(cancel&gt;0.5/0.9); |x_C|/M percentiles; worst-cancellation draw</t>
  </si>
  <si>
    <t xml:space="preserve">Quantifies how often cancellation hides anisotropy</t>
  </si>
  <si>
    <t xml:space="preserve">E2</t>
  </si>
  <si>
    <t xml:space="preserve">F fail-closed coverage</t>
  </si>
  <si>
    <t xml:space="preserve">Accept/reject coverage table; no clipping confirmed</t>
  </si>
  <si>
    <t xml:space="preserve">100% correct accept/reject; zero clipped values</t>
  </si>
  <si>
    <t xml:space="preserve">E3</t>
  </si>
  <si>
    <t xml:space="preserve">Pi threshold-registration bias</t>
  </si>
  <si>
    <t xml:space="preserve">Post-hoc vs pre-registered exceedance gap; inflation factor</t>
  </si>
  <si>
    <t xml:space="preserve">Quantifies bias removed by registration; post-hoc rule refused</t>
  </si>
  <si>
    <t xml:space="preserve">E4</t>
  </si>
  <si>
    <t xml:space="preserve">G_F matched-null + boost-vs-tilt</t>
  </si>
  <si>
    <t xml:space="preserve">days</t>
  </si>
  <si>
    <t xml:space="preserve">Matched/unmatched FPR; boost-vs-tilt ROC AUC via depth slope</t>
  </si>
  <si>
    <t xml:space="preserve">Matched FPR&lt;0.15; quantitative separation forecast</t>
  </si>
  <si>
    <t xml:space="preserve">E5</t>
  </si>
  <si>
    <t xml:space="preserve">U5/F2</t>
  </si>
  <si>
    <t xml:space="preserve">Comparator spec-curve; across-comparator spread</t>
  </si>
  <si>
    <t xml:space="preserve">Spread quantified; comparator never implicit</t>
  </si>
  <si>
    <t xml:space="preserve">E6</t>
  </si>
  <si>
    <t xml:space="preserve">Semantic-firewall fuzz</t>
  </si>
  <si>
    <t xml:space="preserve">F1/F9</t>
  </si>
  <si>
    <t xml:space="preserve">Successful-smuggle count by attack type; label-linter result</t>
  </si>
  <si>
    <t xml:space="preserve">0 successful smuggles across N trials</t>
  </si>
  <si>
    <t xml:space="preserve">E7</t>
  </si>
  <si>
    <t xml:space="preserve">MIO&lt;-&gt;HTT leakage audit</t>
  </si>
  <si>
    <t xml:space="preserve">Leakage report (paths checked, rejections confirmed)</t>
  </si>
  <si>
    <t xml:space="preserve">0 leakage paths</t>
  </si>
  <si>
    <t xml:space="preserve">Metric</t>
  </si>
  <si>
    <t xml:space="preserve">Count</t>
  </si>
  <si>
    <t xml:space="preserve">Novelty items (total)</t>
  </si>
  <si>
    <t xml:space="preserve">  of which NEW (from audit)</t>
  </si>
  <si>
    <t xml:space="preserve">Upgrades (total)</t>
  </si>
  <si>
    <t xml:space="preserve">Experiments (total)</t>
  </si>
  <si>
    <t xml:space="preserve">  demo-validated here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</si>
</sst>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23.85" hidden="false" customHeight="fals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customFormat="false" ht="15" hidden="false" customHeight="false" outlineLevel="0" collapsed="false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customFormat="false" ht="23.85" hidden="false" customHeight="false" outlineLevel="0" collapsed="false">
      <c r="A5" s="2" t="s">
        <v>24</v>
      </c>
      <c r="B5" s="3" t="s">
        <v>25</v>
      </c>
      <c r="C5" s="3" t="s">
        <v>20</v>
      </c>
      <c r="D5" s="3" t="s">
        <v>21</v>
      </c>
      <c r="E5" s="3" t="s">
        <v>22</v>
      </c>
      <c r="F5" s="3" t="s">
        <v>26</v>
      </c>
    </row>
    <row r="6" customFormat="false" ht="15" hidden="false" customHeight="false" outlineLevel="0" collapsed="false">
      <c r="A6" s="2" t="s">
        <v>27</v>
      </c>
      <c r="B6" s="3" t="s">
        <v>28</v>
      </c>
      <c r="C6" s="3" t="s">
        <v>20</v>
      </c>
      <c r="D6" s="3" t="s">
        <v>29</v>
      </c>
      <c r="E6" s="3" t="s">
        <v>30</v>
      </c>
      <c r="F6" s="3" t="s">
        <v>31</v>
      </c>
    </row>
    <row r="7" customFormat="false" ht="23.85" hidden="false" customHeight="false" outlineLevel="0" collapsed="false">
      <c r="A7" s="2" t="s">
        <v>32</v>
      </c>
      <c r="B7" s="3" t="s">
        <v>33</v>
      </c>
      <c r="C7" s="3" t="s">
        <v>8</v>
      </c>
      <c r="D7" s="3" t="s">
        <v>21</v>
      </c>
      <c r="E7" s="3" t="s">
        <v>22</v>
      </c>
      <c r="F7" s="3" t="s">
        <v>34</v>
      </c>
    </row>
    <row r="8" customFormat="false" ht="23.85" hidden="false" customHeight="false" outlineLevel="0" collapsed="false">
      <c r="A8" s="4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customFormat="false" ht="23.85" hidden="false" customHeight="false" outlineLevel="0" collapsed="false">
      <c r="A9" s="4" t="s">
        <v>41</v>
      </c>
      <c r="B9" s="3" t="s">
        <v>42</v>
      </c>
      <c r="C9" s="3" t="s">
        <v>37</v>
      </c>
      <c r="D9" s="3" t="s">
        <v>43</v>
      </c>
      <c r="E9" s="3" t="s">
        <v>44</v>
      </c>
      <c r="F9" s="3" t="s">
        <v>45</v>
      </c>
    </row>
    <row r="10" customFormat="false" ht="23.85" hidden="false" customHeight="false" outlineLevel="0" collapsed="false">
      <c r="A10" s="4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customFormat="false" ht="23.85" hidden="false" customHeight="false" outlineLevel="0" collapsed="false">
      <c r="A2" s="2" t="s">
        <v>58</v>
      </c>
      <c r="B2" s="3" t="s">
        <v>59</v>
      </c>
      <c r="C2" s="3" t="s">
        <v>60</v>
      </c>
      <c r="D2" s="3" t="s">
        <v>61</v>
      </c>
      <c r="E2" s="3" t="s">
        <v>35</v>
      </c>
      <c r="F2" s="3" t="s">
        <v>62</v>
      </c>
      <c r="G2" s="3" t="s">
        <v>63</v>
      </c>
    </row>
    <row r="3" customFormat="false" ht="23.85" hidden="false" customHeight="false" outlineLevel="0" collapsed="false">
      <c r="A3" s="2" t="s">
        <v>64</v>
      </c>
      <c r="B3" s="3" t="s">
        <v>65</v>
      </c>
      <c r="C3" s="3" t="s">
        <v>66</v>
      </c>
      <c r="D3" s="3" t="s">
        <v>67</v>
      </c>
      <c r="E3" s="3" t="s">
        <v>41</v>
      </c>
      <c r="F3" s="3" t="s">
        <v>68</v>
      </c>
      <c r="G3" s="3" t="s">
        <v>69</v>
      </c>
    </row>
    <row r="4" customFormat="false" ht="23.85" hidden="false" customHeight="false" outlineLevel="0" collapsed="false">
      <c r="A4" s="2" t="s">
        <v>70</v>
      </c>
      <c r="B4" s="3" t="s">
        <v>71</v>
      </c>
      <c r="C4" s="3" t="s">
        <v>72</v>
      </c>
      <c r="D4" s="3" t="s">
        <v>73</v>
      </c>
      <c r="E4" s="3" t="s">
        <v>46</v>
      </c>
      <c r="F4" s="3" t="s">
        <v>74</v>
      </c>
      <c r="G4" s="3" t="s">
        <v>75</v>
      </c>
    </row>
    <row r="5" customFormat="false" ht="23.85" hidden="false" customHeight="false" outlineLevel="0" collapsed="false">
      <c r="A5" s="2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</row>
    <row r="6" customFormat="false" ht="23.85" hidden="false" customHeight="false" outlineLevel="0" collapsed="false">
      <c r="A6" s="2" t="s">
        <v>83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customFormat="false" ht="23.85" hidden="false" customHeight="false" outlineLevel="0" collapsed="false">
      <c r="A2" s="2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3" t="s">
        <v>101</v>
      </c>
      <c r="G2" s="3" t="s">
        <v>102</v>
      </c>
    </row>
    <row r="3" customFormat="false" ht="15" hidden="false" customHeight="false" outlineLevel="0" collapsed="false">
      <c r="A3" s="2" t="s">
        <v>103</v>
      </c>
      <c r="B3" s="3" t="s">
        <v>104</v>
      </c>
      <c r="C3" s="3" t="s">
        <v>18</v>
      </c>
      <c r="D3" s="3" t="s">
        <v>99</v>
      </c>
      <c r="E3" s="3" t="s">
        <v>100</v>
      </c>
      <c r="F3" s="3" t="s">
        <v>105</v>
      </c>
      <c r="G3" s="3" t="s">
        <v>106</v>
      </c>
    </row>
    <row r="4" customFormat="false" ht="23.85" hidden="false" customHeight="false" outlineLevel="0" collapsed="false">
      <c r="A4" s="2" t="s">
        <v>107</v>
      </c>
      <c r="B4" s="3" t="s">
        <v>108</v>
      </c>
      <c r="C4" s="3" t="s">
        <v>24</v>
      </c>
      <c r="D4" s="3" t="s">
        <v>99</v>
      </c>
      <c r="E4" s="3" t="s">
        <v>100</v>
      </c>
      <c r="F4" s="3" t="s">
        <v>109</v>
      </c>
      <c r="G4" s="3" t="s">
        <v>110</v>
      </c>
    </row>
    <row r="5" customFormat="false" ht="23.85" hidden="false" customHeight="false" outlineLevel="0" collapsed="false">
      <c r="A5" s="2" t="s">
        <v>111</v>
      </c>
      <c r="B5" s="3" t="s">
        <v>112</v>
      </c>
      <c r="C5" s="3" t="s">
        <v>76</v>
      </c>
      <c r="D5" s="3" t="s">
        <v>113</v>
      </c>
      <c r="E5" s="3" t="s">
        <v>100</v>
      </c>
      <c r="F5" s="3" t="s">
        <v>114</v>
      </c>
      <c r="G5" s="3" t="s">
        <v>115</v>
      </c>
    </row>
    <row r="6" customFormat="false" ht="15" hidden="false" customHeight="false" outlineLevel="0" collapsed="false">
      <c r="A6" s="2" t="s">
        <v>116</v>
      </c>
      <c r="B6" s="3" t="s">
        <v>84</v>
      </c>
      <c r="C6" s="3" t="s">
        <v>117</v>
      </c>
      <c r="D6" s="3" t="s">
        <v>99</v>
      </c>
      <c r="E6" s="3" t="s">
        <v>100</v>
      </c>
      <c r="F6" s="3" t="s">
        <v>118</v>
      </c>
      <c r="G6" s="3" t="s">
        <v>119</v>
      </c>
    </row>
    <row r="7" customFormat="false" ht="23.85" hidden="false" customHeight="false" outlineLevel="0" collapsed="false">
      <c r="A7" s="2" t="s">
        <v>120</v>
      </c>
      <c r="B7" s="3" t="s">
        <v>121</v>
      </c>
      <c r="C7" s="3" t="s">
        <v>122</v>
      </c>
      <c r="D7" s="3" t="s">
        <v>113</v>
      </c>
      <c r="E7" s="3" t="s">
        <v>100</v>
      </c>
      <c r="F7" s="3" t="s">
        <v>123</v>
      </c>
      <c r="G7" s="3" t="s">
        <v>124</v>
      </c>
    </row>
    <row r="8" customFormat="false" ht="15" hidden="false" customHeight="false" outlineLevel="0" collapsed="false">
      <c r="A8" s="2" t="s">
        <v>125</v>
      </c>
      <c r="B8" s="3" t="s">
        <v>126</v>
      </c>
      <c r="C8" s="3" t="s">
        <v>32</v>
      </c>
      <c r="D8" s="3" t="s">
        <v>113</v>
      </c>
      <c r="E8" s="3" t="s">
        <v>100</v>
      </c>
      <c r="F8" s="3" t="s">
        <v>127</v>
      </c>
      <c r="G8" s="3" t="s">
        <v>128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30" hidden="false" customHeight="true" outlineLevel="0" collapsed="false">
      <c r="A1" s="1" t="s">
        <v>129</v>
      </c>
      <c r="B1" s="1" t="s">
        <v>130</v>
      </c>
    </row>
    <row r="2" customFormat="false" ht="15" hidden="false" customHeight="false" outlineLevel="0" collapsed="false">
      <c r="A2" s="2" t="s">
        <v>131</v>
      </c>
      <c r="B2" s="5" t="n">
        <f aca="false">COUNTA('Novelty Ledger'!A2:A10)</f>
        <v>9</v>
      </c>
    </row>
    <row r="3" customFormat="false" ht="15" hidden="false" customHeight="false" outlineLevel="0" collapsed="false">
      <c r="A3" s="2" t="s">
        <v>132</v>
      </c>
      <c r="B3" s="5" t="n">
        <f aca="false">COUNTIF('Novelty Ledger'!C2:C10,"New*")</f>
        <v>3</v>
      </c>
    </row>
    <row r="4" customFormat="false" ht="15" hidden="false" customHeight="false" outlineLevel="0" collapsed="false">
      <c r="A4" s="2" t="s">
        <v>133</v>
      </c>
      <c r="B4" s="5" t="n">
        <f aca="false">COUNTA(Upgrades!A2:A6)</f>
        <v>5</v>
      </c>
    </row>
    <row r="5" customFormat="false" ht="15" hidden="false" customHeight="false" outlineLevel="0" collapsed="false">
      <c r="A5" s="2" t="s">
        <v>134</v>
      </c>
      <c r="B5" s="5" t="n">
        <f aca="false">COUNTA(Experiments!A2:A8)</f>
        <v>7</v>
      </c>
    </row>
    <row r="6" customFormat="false" ht="15" hidden="false" customHeight="false" outlineLevel="0" collapsed="false">
      <c r="A6" s="2" t="s">
        <v>135</v>
      </c>
      <c r="B6" s="5" t="n">
        <f aca="false">COUNTIF(Experiments!E2:E8,"DEMO-DONE")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2026-06-18T15:21:05Z</dcterms:created>
  <dc:creator>openpyxl</dc:creator>
  <dc:description/>
  <dc:language>en-US</dc:language>
  <cp:lastModifiedBy/>
  <dcterms:modified xsi:type="dcterms:W3CDTF">2026-06-18T15:21:05Z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